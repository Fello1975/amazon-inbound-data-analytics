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v\Desktop\futuro\github\FALSO\Mofidicado\"/>
    </mc:Choice>
  </mc:AlternateContent>
  <xr:revisionPtr revIDLastSave="0" documentId="13_ncr:1_{48441611-1D1C-4498-ABA1-AD8FA4B63F7B}" xr6:coauthVersionLast="47" xr6:coauthVersionMax="47" xr10:uidLastSave="{00000000-0000-0000-0000-000000000000}"/>
  <bookViews>
    <workbookView xWindow="1050" yWindow="6015" windowWidth="28800" windowHeight="15345" activeTab="1" xr2:uid="{00000000-000D-0000-FFFF-FFFF00000000}"/>
  </bookViews>
  <sheets>
    <sheet name="Inbound_Mock_Data" sheetId="1" r:id="rId1"/>
    <sheet name="Pivot_Table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<sst xmlns="http://schemas.openxmlformats.org/spreadsheetml/2006/main" count="316" uniqueCount="121">
  <si>
    <t>FC</t>
  </si>
  <si>
    <t>SCAC</t>
  </si>
  <si>
    <t>sch_arrival_wk</t>
  </si>
  <si>
    <t>isa</t>
  </si>
  <si>
    <t>terms</t>
  </si>
  <si>
    <t>status</t>
  </si>
  <si>
    <t>clampable</t>
  </si>
  <si>
    <t>load_type</t>
  </si>
  <si>
    <t>hot</t>
  </si>
  <si>
    <t>CRDD</t>
  </si>
  <si>
    <t>sch_arrival</t>
  </si>
  <si>
    <t>dwell_hours</t>
  </si>
  <si>
    <t>floor_load_zone</t>
  </si>
  <si>
    <t>freight_type</t>
  </si>
  <si>
    <t>asin_profile</t>
  </si>
  <si>
    <t>prep</t>
  </si>
  <si>
    <t>asin</t>
  </si>
  <si>
    <t>units</t>
  </si>
  <si>
    <t>cube</t>
  </si>
  <si>
    <t>unit_cube</t>
  </si>
  <si>
    <t>FC_WEST_01</t>
  </si>
  <si>
    <t>ABFS</t>
  </si>
  <si>
    <t>ISA-1001</t>
  </si>
  <si>
    <t>Vendor Pays</t>
  </si>
  <si>
    <t>ARRIVED</t>
  </si>
  <si>
    <t>DROP PALLETIZED</t>
  </si>
  <si>
    <t>2023-06-12</t>
  </si>
  <si>
    <t>2023-06-13</t>
  </si>
  <si>
    <t>N/A</t>
  </si>
  <si>
    <t>Each</t>
  </si>
  <si>
    <t>Deep Storage</t>
  </si>
  <si>
    <t>No Prep</t>
  </si>
  <si>
    <t>SKU-0001</t>
  </si>
  <si>
    <t>Mixed Flow</t>
  </si>
  <si>
    <t>SKU-0002</t>
  </si>
  <si>
    <t>Pallet</t>
  </si>
  <si>
    <t>Drawer</t>
  </si>
  <si>
    <t>SKU-0003</t>
  </si>
  <si>
    <t>SKU-0004</t>
  </si>
  <si>
    <t>SKU-0005</t>
  </si>
  <si>
    <t>CARR_02</t>
  </si>
  <si>
    <t>ISA-1002</t>
  </si>
  <si>
    <t>LIVE FLOOR_LOADED</t>
  </si>
  <si>
    <t>2023-06-18</t>
  </si>
  <si>
    <t>2023-06-19</t>
  </si>
  <si>
    <t>Fluid Zone</t>
  </si>
  <si>
    <t>Half-Vertical</t>
  </si>
  <si>
    <t>asinstk</t>
  </si>
  <si>
    <t>SKU-0006</t>
  </si>
  <si>
    <t>SKU-0007</t>
  </si>
  <si>
    <t>Rainbow</t>
  </si>
  <si>
    <t>SKU-0008</t>
  </si>
  <si>
    <t>CARR_03</t>
  </si>
  <si>
    <t>ISA-1003</t>
  </si>
  <si>
    <t>CHECKED_IN</t>
  </si>
  <si>
    <t>LIVE PALLETIZED</t>
  </si>
  <si>
    <t>2023-06-25</t>
  </si>
  <si>
    <t>2023-06-26</t>
  </si>
  <si>
    <t>SKU-0009</t>
  </si>
  <si>
    <t>SKU-0010</t>
  </si>
  <si>
    <t>CARR_04</t>
  </si>
  <si>
    <t>ISA-1004</t>
  </si>
  <si>
    <t>2023-06-28</t>
  </si>
  <si>
    <t>2023-06-29</t>
  </si>
  <si>
    <t>SKU-0011</t>
  </si>
  <si>
    <t>SKU-0012</t>
  </si>
  <si>
    <t>CARR_05</t>
  </si>
  <si>
    <t>ISA-1005</t>
  </si>
  <si>
    <t>2023-07-03</t>
  </si>
  <si>
    <t>2023-07-04</t>
  </si>
  <si>
    <t>Each Receive</t>
  </si>
  <si>
    <t>Passthrough Bulky</t>
  </si>
  <si>
    <t>SKU-0013</t>
  </si>
  <si>
    <t>SKU-0014</t>
  </si>
  <si>
    <t>SKU-0015</t>
  </si>
  <si>
    <t>CARR_06</t>
  </si>
  <si>
    <t>ISA-1006</t>
  </si>
  <si>
    <t>2023-07-10</t>
  </si>
  <si>
    <t>2023-07-11</t>
  </si>
  <si>
    <t>SKU-0016</t>
  </si>
  <si>
    <t>SKU-0017</t>
  </si>
  <si>
    <t>CARR_07</t>
  </si>
  <si>
    <t>ISA-1007</t>
  </si>
  <si>
    <t>2023-07-17</t>
  </si>
  <si>
    <t>2023-07-18</t>
  </si>
  <si>
    <t>SKU-0018</t>
  </si>
  <si>
    <t>SKU-0019</t>
  </si>
  <si>
    <t>CARR_08</t>
  </si>
  <si>
    <t>ISA-1008</t>
  </si>
  <si>
    <t>2023-07-24</t>
  </si>
  <si>
    <t>2023-07-25</t>
  </si>
  <si>
    <t>SKU-0020</t>
  </si>
  <si>
    <t>SKU-0021</t>
  </si>
  <si>
    <t>Row Labels</t>
  </si>
  <si>
    <t>(blank)</t>
  </si>
  <si>
    <t>Grand Total</t>
  </si>
  <si>
    <t>Sum of units</t>
  </si>
  <si>
    <t>Count of asin_profile</t>
  </si>
  <si>
    <t>FC_WEST_02</t>
  </si>
  <si>
    <t>FC_WEST_03</t>
  </si>
  <si>
    <t>FC_WEST_04</t>
  </si>
  <si>
    <t>FC_WEST_05</t>
  </si>
  <si>
    <t>FC_WEST_06</t>
  </si>
  <si>
    <t>FC_WEST_07</t>
  </si>
  <si>
    <t>FC_WEST_08</t>
  </si>
  <si>
    <t>FC_WEST_09</t>
  </si>
  <si>
    <t>FC_WEST_10</t>
  </si>
  <si>
    <t>FC_WEST_11</t>
  </si>
  <si>
    <t>FC_WEST_12</t>
  </si>
  <si>
    <t>FC_WEST_13</t>
  </si>
  <si>
    <t>FC_WEST_14</t>
  </si>
  <si>
    <t>FC_WEST_15</t>
  </si>
  <si>
    <t>FC_WEST_16</t>
  </si>
  <si>
    <t>FC_WEST_17</t>
  </si>
  <si>
    <t>FC_WEST_18</t>
  </si>
  <si>
    <t>FC_WEST_19</t>
  </si>
  <si>
    <t>FC_WEST_20</t>
  </si>
  <si>
    <t>FC_WEST_21</t>
  </si>
  <si>
    <t>2023-07-26</t>
  </si>
  <si>
    <t>ISA-1009</t>
  </si>
  <si>
    <t>CARR_09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</si>
</sst>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v" refreshedDate="46039.518192824071" createdVersion="7" refreshedVersion="7" minRefreshableVersion="3" recordCount="21" xr:uid="{757E7FDC-0E89-420E-991A-F51877A8D76F}">
  <cacheSource type="worksheet">
    <worksheetSource ref="A1:T22" sheet="Inbound_Mock_Data"/>
  </cacheSource>
  <cacheFields count="20">
    <cacheField name="FC" numFmtId="0">
      <sharedItems containsBlank="1"/>
    </cacheField>
    <cacheField name="SCAC" numFmtId="0">
      <sharedItems containsBlank="1"/>
    </cacheField>
    <cacheField name="sch_arrival_wk" numFmtId="0">
      <sharedItems containsString="0" containsBlank="1" containsNumber="1" containsInteger="1" minValue="16" maxValue="22"/>
    </cacheField>
    <cacheField name="isa" numFmtId="0">
      <sharedItems containsBlank="1" count="9">
        <s v="ISA-1001"/>
        <s v="ISA-1002"/>
        <s v="ISA-1003"/>
        <s v="ISA-1004"/>
        <s v="ISA-1005"/>
        <s v="ISA-1006"/>
        <s v="ISA-1007"/>
        <s v="ISA-1008"/>
        <m/>
      </sharedItems>
    </cacheField>
    <cacheField name="terms" numFmtId="0">
      <sharedItems containsBlank="1"/>
    </cacheField>
    <cacheField name="status" numFmtId="0">
      <sharedItems containsBlank="1" count="3">
        <s v="ARRIVED"/>
        <s v="CHECKED_IN"/>
        <m/>
      </sharedItems>
    </cacheField>
    <cacheField name="clampable" numFmtId="0">
      <sharedItems containsBlank="1"/>
    </cacheField>
    <cacheField name="load_type" numFmtId="0">
      <sharedItems containsBlank="1"/>
    </cacheField>
    <cacheField name="hot" numFmtId="0">
      <sharedItems containsBlank="1"/>
    </cacheField>
    <cacheField name="CRDD" numFmtId="0">
      <sharedItems containsDate="1" containsBlank="1" containsMixedTypes="1" minDate="2023-06-12T00:00:00" maxDate="2023-07-18T00:00:00"/>
    </cacheField>
    <cacheField name="sch_arrival" numFmtId="0">
      <sharedItems containsDate="1" containsBlank="1" containsMixedTypes="1" minDate="2023-06-13T00:00:00" maxDate="2023-07-19T00:00:00"/>
    </cacheField>
    <cacheField name="dwell_hours" numFmtId="0">
      <sharedItems containsString="0" containsBlank="1" containsNumber="1" containsInteger="1" minValue="8" maxValue="22"/>
    </cacheField>
    <cacheField name="floor_load_zone" numFmtId="0">
      <sharedItems containsBlank="1"/>
    </cacheField>
    <cacheField name="freight_type" numFmtId="0">
      <sharedItems containsBlank="1"/>
    </cacheField>
    <cacheField name="asin_profile" numFmtId="0">
      <sharedItems count="6">
        <s v="Deep Storage"/>
        <s v="Mixed Flow"/>
        <s v="Drawer"/>
        <s v="Half-Vertical"/>
        <s v="Rainbow"/>
        <s v="Passthrough Bulky"/>
      </sharedItems>
    </cacheField>
    <cacheField name="prep" numFmtId="0">
      <sharedItems count="2">
        <s v="No Prep"/>
        <s v="asinstk"/>
      </sharedItems>
    </cacheField>
    <cacheField name="asin" numFmtId="0">
      <sharedItems count="21">
        <s v="SKU-0001"/>
        <s v="SKU-0002"/>
        <s v="SKU-0003"/>
        <s v="SKU-0004"/>
        <s v="SKU-0005"/>
        <s v="SKU-0006"/>
        <s v="SKU-0007"/>
        <s v="SKU-0008"/>
        <s v="SKU-0009"/>
        <s v="SKU-0010"/>
        <s v="SKU-0011"/>
        <s v="SKU-0012"/>
        <s v="SKU-0013"/>
        <s v="SKU-0014"/>
        <s v="SKU-0015"/>
        <s v="SKU-0016"/>
        <s v="SKU-0017"/>
        <s v="SKU-0018"/>
        <s v="SKU-0019"/>
        <s v="SKU-0020"/>
        <s v="SKU-0021"/>
      </sharedItems>
    </cacheField>
    <cacheField name="units" numFmtId="0">
      <sharedItems containsSemiMixedTypes="0" containsString="0" containsNumber="1" containsInteger="1" minValue="12" maxValue="1020"/>
    </cacheField>
    <cacheField name="cube" numFmtId="0">
      <sharedItems containsSemiMixedTypes="0" containsString="0" containsNumber="1" containsInteger="1" minValue="8" maxValue="2100"/>
    </cacheField>
    <cacheField name="unit_cube" numFmtId="0">
      <sharedItems containsSemiMixedTypes="0" containsString="0" containsNumber="1" minValue="0.33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FC_WEST_01"/>
    <s v="ABFS"/>
    <n v="16"/>
    <x v="0"/>
    <s v="Vendor Pays"/>
    <x v="0"/>
    <b v="0"/>
    <s v="DROP PALLETIZED"/>
    <b v="0"/>
    <s v="2023-06-12"/>
    <s v="2023-06-13"/>
    <n v="9"/>
    <s v="N/A"/>
    <s v="Each"/>
    <x v="0"/>
    <x v="0"/>
    <x v="0"/>
    <n v="12"/>
    <n v="22"/>
    <n v="1.83"/>
  </r>
  <r>
    <m/>
    <s v="ABFS"/>
    <n v="16"/>
    <x v="0"/>
    <s v="Vendor Pays"/>
    <x v="0"/>
    <b v="0"/>
    <s v="DROP PALLETIZED"/>
    <b v="0"/>
    <d v="2023-06-12T00:00:00"/>
    <d v="2023-06-13T00:00:00"/>
    <n v="9"/>
    <s v="N/A"/>
    <s v="Each"/>
    <x v="1"/>
    <x v="0"/>
    <x v="1"/>
    <n v="14"/>
    <n v="30"/>
    <n v="2.14"/>
  </r>
  <r>
    <m/>
    <s v="ABFS"/>
    <n v="16"/>
    <x v="0"/>
    <s v="Vendor Pays"/>
    <x v="0"/>
    <b v="0"/>
    <s v="DROP PALLETIZED"/>
    <b v="0"/>
    <d v="2023-06-12T00:00:00"/>
    <d v="2023-06-13T00:00:00"/>
    <n v="9"/>
    <s v="N/A"/>
    <s v="Each"/>
    <x v="2"/>
    <x v="0"/>
    <x v="2"/>
    <n v="95"/>
    <n v="88"/>
    <n v="0.93"/>
  </r>
  <r>
    <m/>
    <s v="ABFS"/>
    <n v="16"/>
    <x v="0"/>
    <s v="Vendor Pays"/>
    <x v="0"/>
    <b v="0"/>
    <s v="DROP PALLETIZED"/>
    <b v="0"/>
    <d v="2023-06-12T00:00:00"/>
    <d v="2023-06-13T00:00:00"/>
    <n v="9"/>
    <s v="N/A"/>
    <s v="Each"/>
    <x v="2"/>
    <x v="0"/>
    <x v="3"/>
    <n v="102"/>
    <n v="92"/>
    <n v="0.9"/>
  </r>
  <r>
    <m/>
    <s v="ABFS"/>
    <n v="16"/>
    <x v="0"/>
    <s v="Vendor Pays"/>
    <x v="0"/>
    <b v="0"/>
    <s v="DROP PALLETIZED"/>
    <b v="0"/>
    <d v="2023-06-12T00:00:00"/>
    <d v="2023-06-13T00:00:00"/>
    <n v="9"/>
    <s v="N/A"/>
    <s v="Each"/>
    <x v="0"/>
    <x v="0"/>
    <x v="4"/>
    <n v="26"/>
    <n v="45"/>
    <n v="1.73"/>
  </r>
  <r>
    <m/>
    <s v="CARR_02"/>
    <n v="17"/>
    <x v="1"/>
    <s v="Vendor Pays"/>
    <x v="0"/>
    <b v="0"/>
    <s v="LIVE FLOOR_LOADED"/>
    <b v="0"/>
    <s v="2023-06-18"/>
    <s v="2023-06-19"/>
    <n v="14"/>
    <s v="Fluid Zone"/>
    <s v="Each"/>
    <x v="3"/>
    <x v="1"/>
    <x v="5"/>
    <n v="18"/>
    <n v="38"/>
    <n v="2.11"/>
  </r>
  <r>
    <m/>
    <s v="CARR_02"/>
    <n v="17"/>
    <x v="1"/>
    <s v="Vendor Pays"/>
    <x v="0"/>
    <b v="0"/>
    <s v="LIVE FLOOR_LOADED"/>
    <b v="0"/>
    <d v="2023-06-18T00:00:00"/>
    <d v="2023-06-19T00:00:00"/>
    <n v="14"/>
    <s v="Fluid Zone"/>
    <s v="Each"/>
    <x v="3"/>
    <x v="1"/>
    <x v="6"/>
    <n v="22"/>
    <n v="44"/>
    <n v="2"/>
  </r>
  <r>
    <m/>
    <s v="CARR_02"/>
    <n v="17"/>
    <x v="1"/>
    <s v="Vendor Pays"/>
    <x v="0"/>
    <b v="0"/>
    <s v="LIVE FLOOR_LOADED"/>
    <b v="0"/>
    <d v="2023-06-18T00:00:00"/>
    <d v="2023-06-19T00:00:00"/>
    <n v="14"/>
    <s v="Fluid Zone"/>
    <s v="Each"/>
    <x v="4"/>
    <x v="0"/>
    <x v="7"/>
    <n v="160"/>
    <n v="240"/>
    <n v="1.5"/>
  </r>
  <r>
    <m/>
    <s v="CARR_03"/>
    <n v="18"/>
    <x v="2"/>
    <s v="Vendor Pays"/>
    <x v="1"/>
    <b v="0"/>
    <s v="LIVE PALLETIZED"/>
    <b v="0"/>
    <s v="2023-06-25"/>
    <s v="2023-06-26"/>
    <n v="11"/>
    <s v="N/A"/>
    <s v="Pallet"/>
    <x v="0"/>
    <x v="0"/>
    <x v="8"/>
    <n v="420"/>
    <n v="380"/>
    <n v="0.9"/>
  </r>
  <r>
    <m/>
    <s v="CARR_03"/>
    <n v="18"/>
    <x v="2"/>
    <s v="Vendor Pays"/>
    <x v="1"/>
    <b v="0"/>
    <s v="LIVE PALLETIZED"/>
    <b v="0"/>
    <d v="2023-06-25T00:00:00"/>
    <d v="2023-06-26T00:00:00"/>
    <n v="11"/>
    <s v="N/A"/>
    <s v="Pallet"/>
    <x v="0"/>
    <x v="0"/>
    <x v="9"/>
    <n v="380"/>
    <n v="410"/>
    <n v="1.08"/>
  </r>
  <r>
    <m/>
    <s v="CARR_04"/>
    <n v="18"/>
    <x v="3"/>
    <s v="Vendor Pays"/>
    <x v="0"/>
    <b v="0"/>
    <s v="LIVE PALLETIZED"/>
    <b v="0"/>
    <s v="2023-06-28"/>
    <s v="2023-06-29"/>
    <n v="15"/>
    <s v="N/A"/>
    <s v="Each"/>
    <x v="2"/>
    <x v="1"/>
    <x v="10"/>
    <n v="24"/>
    <n v="8"/>
    <n v="0.33"/>
  </r>
  <r>
    <m/>
    <s v="CARR_04"/>
    <n v="18"/>
    <x v="3"/>
    <s v="Vendor Pays"/>
    <x v="0"/>
    <b v="0"/>
    <s v="LIVE PALLETIZED"/>
    <b v="0"/>
    <d v="2023-06-28T00:00:00"/>
    <d v="2023-06-29T00:00:00"/>
    <n v="15"/>
    <s v="N/A"/>
    <s v="Each"/>
    <x v="2"/>
    <x v="1"/>
    <x v="11"/>
    <n v="30"/>
    <n v="12"/>
    <n v="0.4"/>
  </r>
  <r>
    <m/>
    <s v="CARR_05"/>
    <n v="19"/>
    <x v="4"/>
    <s v="Vendor Pays"/>
    <x v="0"/>
    <b v="0"/>
    <s v="LIVE FLOOR_LOADED"/>
    <b v="0"/>
    <s v="2023-07-03"/>
    <s v="2023-07-04"/>
    <n v="22"/>
    <s v="Each Receive"/>
    <s v="Each"/>
    <x v="5"/>
    <x v="0"/>
    <x v="12"/>
    <n v="210"/>
    <n v="360"/>
    <n v="1.71"/>
  </r>
  <r>
    <m/>
    <s v="CARR_05"/>
    <n v="19"/>
    <x v="4"/>
    <s v="Vendor Pays"/>
    <x v="0"/>
    <b v="0"/>
    <s v="LIVE FLOOR_LOADED"/>
    <b v="0"/>
    <d v="2023-07-03T00:00:00"/>
    <d v="2023-07-04T00:00:00"/>
    <n v="22"/>
    <s v="Each Receive"/>
    <s v="Each"/>
    <x v="5"/>
    <x v="0"/>
    <x v="13"/>
    <n v="180"/>
    <n v="330"/>
    <n v="1.83"/>
  </r>
  <r>
    <m/>
    <s v="CARR_05"/>
    <n v="19"/>
    <x v="4"/>
    <s v="Vendor Pays"/>
    <x v="0"/>
    <b v="0"/>
    <s v="LIVE FLOOR_LOADED"/>
    <b v="0"/>
    <d v="2023-07-03T00:00:00"/>
    <d v="2023-07-04T00:00:00"/>
    <n v="22"/>
    <s v="Each Receive"/>
    <s v="Each"/>
    <x v="4"/>
    <x v="0"/>
    <x v="14"/>
    <n v="170"/>
    <n v="260"/>
    <n v="1.53"/>
  </r>
  <r>
    <m/>
    <s v="CARR_06"/>
    <n v="20"/>
    <x v="5"/>
    <s v="Vendor Pays"/>
    <x v="0"/>
    <b v="0"/>
    <s v="LIVE PALLETIZED"/>
    <b v="0"/>
    <s v="2023-07-10"/>
    <s v="2023-07-11"/>
    <n v="10"/>
    <s v="N/A"/>
    <s v="Pallet"/>
    <x v="3"/>
    <x v="1"/>
    <x v="15"/>
    <n v="980"/>
    <n v="1950"/>
    <n v="1.99"/>
  </r>
  <r>
    <m/>
    <s v="CARR_06"/>
    <n v="20"/>
    <x v="5"/>
    <s v="Vendor Pays"/>
    <x v="0"/>
    <b v="0"/>
    <s v="LIVE PALLETIZED"/>
    <b v="0"/>
    <d v="2023-07-10T00:00:00"/>
    <d v="2023-07-11T00:00:00"/>
    <n v="10"/>
    <s v="N/A"/>
    <s v="Pallet"/>
    <x v="3"/>
    <x v="1"/>
    <x v="16"/>
    <n v="1020"/>
    <n v="2100"/>
    <n v="2.06"/>
  </r>
  <r>
    <m/>
    <s v="CARR_07"/>
    <n v="21"/>
    <x v="6"/>
    <s v="Vendor Pays"/>
    <x v="1"/>
    <b v="0"/>
    <s v="DROP PALLETIZED"/>
    <b v="0"/>
    <s v="2023-07-17"/>
    <s v="2023-07-18"/>
    <n v="8"/>
    <s v="N/A"/>
    <s v="Pallet"/>
    <x v="4"/>
    <x v="0"/>
    <x v="17"/>
    <n v="140"/>
    <n v="420"/>
    <n v="3"/>
  </r>
  <r>
    <m/>
    <s v="CARR_07"/>
    <n v="21"/>
    <x v="6"/>
    <s v="Vendor Pays"/>
    <x v="1"/>
    <b v="0"/>
    <s v="DROP PALLETIZED"/>
    <b v="0"/>
    <d v="2023-07-17T00:00:00"/>
    <d v="2023-07-18T00:00:00"/>
    <n v="8"/>
    <s v="N/A"/>
    <s v="Pallet"/>
    <x v="4"/>
    <x v="0"/>
    <x v="18"/>
    <n v="160"/>
    <n v="480"/>
    <n v="3"/>
  </r>
  <r>
    <m/>
    <s v="CARR_08"/>
    <n v="22"/>
    <x v="7"/>
    <s v="Vendor Pays"/>
    <x v="0"/>
    <b v="0"/>
    <s v="LIVE FLOOR_LOADED"/>
    <b v="0"/>
    <s v="2023-07-24"/>
    <s v="2023-07-25"/>
    <n v="18"/>
    <s v="Fluid Zone"/>
    <s v="Each"/>
    <x v="0"/>
    <x v="0"/>
    <x v="19"/>
    <n v="60"/>
    <n v="150"/>
    <n v="2.5"/>
  </r>
  <r>
    <m/>
    <m/>
    <m/>
    <x v="8"/>
    <m/>
    <x v="2"/>
    <m/>
    <m/>
    <m/>
    <m/>
    <m/>
    <m/>
    <m/>
    <m/>
    <x v="0"/>
    <x v="0"/>
    <x v="20"/>
    <n v="72"/>
    <n v="180"/>
    <n v="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19C25-C903-402E-AD26-5DC825E4AD6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47" firstHeaderRow="0" firstDataRow="1" firstDataCol="1"/>
  <pivotFields count="20">
    <pivotField showAll="0"/>
    <pivotField showAll="0"/>
    <pivotField showAll="0"/>
    <pivotField axis="axisRow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0"/>
        <item x="2"/>
        <item x="3"/>
        <item x="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axis="axisRow" showAll="0" sortType="descending">
      <items count="22">
        <item x="0"/>
        <item x="1"/>
        <item x="2"/>
        <item x="3"/>
        <item sd="0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</pivotFields>
  <rowFields count="3">
    <field x="3"/>
    <field x="14"/>
    <field x="16"/>
  </rowFields>
  <rowItems count="44">
    <i>
      <x/>
    </i>
    <i r="1">
      <x v="1"/>
    </i>
    <i r="2">
      <x v="3"/>
    </i>
    <i r="2">
      <x v="2"/>
    </i>
    <i r="1">
      <x/>
    </i>
    <i r="2">
      <x v="4"/>
    </i>
    <i r="2">
      <x/>
    </i>
    <i r="1">
      <x v="3"/>
    </i>
    <i r="2">
      <x v="1"/>
    </i>
    <i>
      <x v="1"/>
    </i>
    <i r="1">
      <x v="5"/>
    </i>
    <i r="2">
      <x v="7"/>
    </i>
    <i r="1">
      <x v="2"/>
    </i>
    <i r="2">
      <x v="6"/>
    </i>
    <i r="2">
      <x v="5"/>
    </i>
    <i>
      <x v="2"/>
    </i>
    <i r="1">
      <x/>
    </i>
    <i r="2">
      <x v="8"/>
    </i>
    <i r="2">
      <x v="9"/>
    </i>
    <i>
      <x v="3"/>
    </i>
    <i r="1">
      <x v="1"/>
    </i>
    <i r="2">
      <x v="11"/>
    </i>
    <i r="2">
      <x v="10"/>
    </i>
    <i>
      <x v="4"/>
    </i>
    <i r="1">
      <x v="4"/>
    </i>
    <i r="2">
      <x v="12"/>
    </i>
    <i r="2">
      <x v="13"/>
    </i>
    <i r="1">
      <x v="5"/>
    </i>
    <i r="2">
      <x v="14"/>
    </i>
    <i>
      <x v="5"/>
    </i>
    <i r="1">
      <x v="2"/>
    </i>
    <i r="2">
      <x v="16"/>
    </i>
    <i r="2">
      <x v="15"/>
    </i>
    <i>
      <x v="6"/>
    </i>
    <i r="1">
      <x v="5"/>
    </i>
    <i r="2">
      <x v="18"/>
    </i>
    <i r="2">
      <x v="17"/>
    </i>
    <i>
      <x v="7"/>
    </i>
    <i r="1">
      <x/>
    </i>
    <i r="2">
      <x v="19"/>
    </i>
    <i>
      <x v="8"/>
    </i>
    <i r="1">
      <x/>
    </i>
    <i r="2"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sin_profile" fld="14" subtotal="count" baseField="0" baseItem="0"/>
    <dataField name="Sum of unit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2"/>
  <sheetViews>
    <sheetView zoomScale="130" zoomScaleNormal="130" workbookViewId="0">
      <selection activeCell="D14" sqref="D14"/>
    </sheetView>
  </sheetViews>
  <sheetFormatPr defaultRowHeight="15" x14ac:dyDescent="0.25"/>
  <cols>
    <col min="8" max="8" width="19.42578125" bestFit="1" customWidth="1"/>
    <col min="10" max="11" width="10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16</v>
      </c>
      <c r="D2" t="s">
        <v>22</v>
      </c>
      <c r="E2" t="s">
        <v>23</v>
      </c>
      <c r="F2" t="s">
        <v>24</v>
      </c>
      <c r="G2" t="b">
        <v>0</v>
      </c>
      <c r="H2" t="s">
        <v>25</v>
      </c>
      <c r="I2" t="b">
        <v>0</v>
      </c>
      <c r="J2" t="s">
        <v>26</v>
      </c>
      <c r="K2" t="s">
        <v>27</v>
      </c>
      <c r="L2">
        <v>9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12</v>
      </c>
      <c r="S2">
        <v>22</v>
      </c>
      <c r="T2">
        <v>1.83</v>
      </c>
    </row>
    <row r="3" spans="1:20" x14ac:dyDescent="0.25">
      <c r="A3" t="s">
        <v>98</v>
      </c>
      <c r="B3" t="s">
        <v>21</v>
      </c>
      <c r="C3">
        <v>16</v>
      </c>
      <c r="D3" t="s">
        <v>22</v>
      </c>
      <c r="E3" t="s">
        <v>23</v>
      </c>
      <c r="F3" t="s">
        <v>24</v>
      </c>
      <c r="G3" t="b">
        <v>0</v>
      </c>
      <c r="H3" t="s">
        <v>25</v>
      </c>
      <c r="I3" t="b">
        <v>0</v>
      </c>
      <c r="J3" s="1">
        <v>45089</v>
      </c>
      <c r="K3" s="1">
        <v>45090</v>
      </c>
      <c r="L3">
        <v>9</v>
      </c>
      <c r="M3" t="s">
        <v>28</v>
      </c>
      <c r="N3" t="s">
        <v>29</v>
      </c>
      <c r="O3" t="s">
        <v>33</v>
      </c>
      <c r="P3" t="s">
        <v>31</v>
      </c>
      <c r="Q3" t="s">
        <v>34</v>
      </c>
      <c r="R3">
        <v>14</v>
      </c>
      <c r="S3">
        <v>30</v>
      </c>
      <c r="T3">
        <v>2.14</v>
      </c>
    </row>
    <row r="4" spans="1:20" x14ac:dyDescent="0.25">
      <c r="A4" t="s">
        <v>99</v>
      </c>
      <c r="B4" t="s">
        <v>21</v>
      </c>
      <c r="C4">
        <v>16</v>
      </c>
      <c r="D4" t="s">
        <v>22</v>
      </c>
      <c r="E4" t="s">
        <v>23</v>
      </c>
      <c r="F4" t="s">
        <v>24</v>
      </c>
      <c r="G4" t="b">
        <v>0</v>
      </c>
      <c r="H4" t="s">
        <v>25</v>
      </c>
      <c r="I4" t="b">
        <v>0</v>
      </c>
      <c r="J4" s="1">
        <v>45089</v>
      </c>
      <c r="K4" s="1">
        <v>45090</v>
      </c>
      <c r="L4">
        <v>9</v>
      </c>
      <c r="M4" t="s">
        <v>28</v>
      </c>
      <c r="N4" t="s">
        <v>29</v>
      </c>
      <c r="O4" t="s">
        <v>36</v>
      </c>
      <c r="P4" t="s">
        <v>31</v>
      </c>
      <c r="Q4" t="s">
        <v>37</v>
      </c>
      <c r="R4">
        <v>95</v>
      </c>
      <c r="S4">
        <v>88</v>
      </c>
      <c r="T4">
        <v>0.93</v>
      </c>
    </row>
    <row r="5" spans="1:20" x14ac:dyDescent="0.25">
      <c r="A5" t="s">
        <v>100</v>
      </c>
      <c r="B5" t="s">
        <v>21</v>
      </c>
      <c r="C5">
        <v>16</v>
      </c>
      <c r="D5" t="s">
        <v>22</v>
      </c>
      <c r="E5" t="s">
        <v>23</v>
      </c>
      <c r="F5" t="s">
        <v>24</v>
      </c>
      <c r="G5" t="b">
        <v>0</v>
      </c>
      <c r="H5" t="s">
        <v>25</v>
      </c>
      <c r="I5" t="b">
        <v>0</v>
      </c>
      <c r="J5" s="1">
        <v>45089</v>
      </c>
      <c r="K5" s="1">
        <v>45090</v>
      </c>
      <c r="L5">
        <v>9</v>
      </c>
      <c r="M5" t="s">
        <v>28</v>
      </c>
      <c r="N5" t="s">
        <v>29</v>
      </c>
      <c r="O5" t="s">
        <v>36</v>
      </c>
      <c r="P5" t="s">
        <v>31</v>
      </c>
      <c r="Q5" t="s">
        <v>38</v>
      </c>
      <c r="R5">
        <v>102</v>
      </c>
      <c r="S5">
        <v>92</v>
      </c>
      <c r="T5">
        <v>0.9</v>
      </c>
    </row>
    <row r="6" spans="1:20" x14ac:dyDescent="0.25">
      <c r="A6" t="s">
        <v>101</v>
      </c>
      <c r="B6" t="s">
        <v>21</v>
      </c>
      <c r="C6">
        <v>16</v>
      </c>
      <c r="D6" t="s">
        <v>22</v>
      </c>
      <c r="E6" t="s">
        <v>23</v>
      </c>
      <c r="F6" t="s">
        <v>24</v>
      </c>
      <c r="G6" t="b">
        <v>0</v>
      </c>
      <c r="H6" t="s">
        <v>25</v>
      </c>
      <c r="I6" t="b">
        <v>0</v>
      </c>
      <c r="J6" s="1">
        <v>45089</v>
      </c>
      <c r="K6" s="1">
        <v>45090</v>
      </c>
      <c r="L6">
        <v>9</v>
      </c>
      <c r="M6" t="s">
        <v>28</v>
      </c>
      <c r="N6" t="s">
        <v>29</v>
      </c>
      <c r="O6" t="s">
        <v>30</v>
      </c>
      <c r="P6" t="s">
        <v>31</v>
      </c>
      <c r="Q6" t="s">
        <v>39</v>
      </c>
      <c r="R6">
        <v>26</v>
      </c>
      <c r="S6">
        <v>45</v>
      </c>
      <c r="T6">
        <v>1.73</v>
      </c>
    </row>
    <row r="7" spans="1:20" x14ac:dyDescent="0.25">
      <c r="A7" t="s">
        <v>102</v>
      </c>
      <c r="B7" t="s">
        <v>40</v>
      </c>
      <c r="C7">
        <v>17</v>
      </c>
      <c r="D7" t="s">
        <v>41</v>
      </c>
      <c r="E7" t="s">
        <v>23</v>
      </c>
      <c r="F7" t="s">
        <v>24</v>
      </c>
      <c r="G7" t="b">
        <v>0</v>
      </c>
      <c r="H7" t="s">
        <v>42</v>
      </c>
      <c r="I7" t="b">
        <v>0</v>
      </c>
      <c r="J7" t="s">
        <v>43</v>
      </c>
      <c r="K7" t="s">
        <v>44</v>
      </c>
      <c r="L7">
        <v>14</v>
      </c>
      <c r="M7" t="s">
        <v>45</v>
      </c>
      <c r="N7" t="s">
        <v>29</v>
      </c>
      <c r="O7" t="s">
        <v>46</v>
      </c>
      <c r="P7" t="s">
        <v>47</v>
      </c>
      <c r="Q7" t="s">
        <v>48</v>
      </c>
      <c r="R7">
        <v>18</v>
      </c>
      <c r="S7">
        <v>38</v>
      </c>
      <c r="T7">
        <v>2.11</v>
      </c>
    </row>
    <row r="8" spans="1:20" x14ac:dyDescent="0.25">
      <c r="A8" t="s">
        <v>103</v>
      </c>
      <c r="B8" t="s">
        <v>40</v>
      </c>
      <c r="C8">
        <v>17</v>
      </c>
      <c r="D8" t="s">
        <v>41</v>
      </c>
      <c r="E8" t="s">
        <v>23</v>
      </c>
      <c r="F8" t="s">
        <v>24</v>
      </c>
      <c r="G8" t="b">
        <v>0</v>
      </c>
      <c r="H8" t="s">
        <v>42</v>
      </c>
      <c r="I8" t="b">
        <v>0</v>
      </c>
      <c r="J8" s="1">
        <v>45095</v>
      </c>
      <c r="K8" s="1">
        <v>45096</v>
      </c>
      <c r="L8">
        <v>14</v>
      </c>
      <c r="M8" t="s">
        <v>45</v>
      </c>
      <c r="N8" t="s">
        <v>29</v>
      </c>
      <c r="O8" t="s">
        <v>46</v>
      </c>
      <c r="P8" t="s">
        <v>47</v>
      </c>
      <c r="Q8" t="s">
        <v>49</v>
      </c>
      <c r="R8">
        <v>22</v>
      </c>
      <c r="S8">
        <v>44</v>
      </c>
      <c r="T8">
        <v>2</v>
      </c>
    </row>
    <row r="9" spans="1:20" x14ac:dyDescent="0.25">
      <c r="A9" t="s">
        <v>104</v>
      </c>
      <c r="B9" t="s">
        <v>40</v>
      </c>
      <c r="C9">
        <v>17</v>
      </c>
      <c r="D9" t="s">
        <v>41</v>
      </c>
      <c r="E9" t="s">
        <v>23</v>
      </c>
      <c r="F9" t="s">
        <v>24</v>
      </c>
      <c r="G9" t="b">
        <v>0</v>
      </c>
      <c r="H9" t="s">
        <v>42</v>
      </c>
      <c r="I9" t="b">
        <v>0</v>
      </c>
      <c r="J9" s="1">
        <v>45095</v>
      </c>
      <c r="K9" s="1">
        <v>45096</v>
      </c>
      <c r="L9">
        <v>14</v>
      </c>
      <c r="M9" t="s">
        <v>45</v>
      </c>
      <c r="N9" t="s">
        <v>29</v>
      </c>
      <c r="O9" t="s">
        <v>50</v>
      </c>
      <c r="P9" t="s">
        <v>31</v>
      </c>
      <c r="Q9" t="s">
        <v>51</v>
      </c>
      <c r="R9">
        <v>160</v>
      </c>
      <c r="S9">
        <v>240</v>
      </c>
      <c r="T9">
        <v>1.5</v>
      </c>
    </row>
    <row r="10" spans="1:20" x14ac:dyDescent="0.25">
      <c r="A10" t="s">
        <v>105</v>
      </c>
      <c r="B10" t="s">
        <v>52</v>
      </c>
      <c r="C10">
        <v>18</v>
      </c>
      <c r="D10" t="s">
        <v>53</v>
      </c>
      <c r="E10" t="s">
        <v>23</v>
      </c>
      <c r="F10" t="s">
        <v>54</v>
      </c>
      <c r="G10" t="b">
        <v>0</v>
      </c>
      <c r="H10" t="s">
        <v>55</v>
      </c>
      <c r="I10" t="b">
        <v>0</v>
      </c>
      <c r="J10" t="s">
        <v>56</v>
      </c>
      <c r="K10" t="s">
        <v>57</v>
      </c>
      <c r="L10">
        <v>11</v>
      </c>
      <c r="M10" t="s">
        <v>28</v>
      </c>
      <c r="N10" t="s">
        <v>35</v>
      </c>
      <c r="O10" t="s">
        <v>30</v>
      </c>
      <c r="P10" t="s">
        <v>31</v>
      </c>
      <c r="Q10" t="s">
        <v>58</v>
      </c>
      <c r="R10">
        <v>420</v>
      </c>
      <c r="S10">
        <v>380</v>
      </c>
      <c r="T10">
        <v>0.9</v>
      </c>
    </row>
    <row r="11" spans="1:20" x14ac:dyDescent="0.25">
      <c r="A11" t="s">
        <v>106</v>
      </c>
      <c r="B11" t="s">
        <v>52</v>
      </c>
      <c r="C11">
        <v>18</v>
      </c>
      <c r="D11" t="s">
        <v>53</v>
      </c>
      <c r="E11" t="s">
        <v>23</v>
      </c>
      <c r="F11" t="s">
        <v>54</v>
      </c>
      <c r="G11" t="b">
        <v>0</v>
      </c>
      <c r="H11" t="s">
        <v>55</v>
      </c>
      <c r="I11" t="b">
        <v>0</v>
      </c>
      <c r="J11" s="1">
        <v>45102</v>
      </c>
      <c r="K11" s="1">
        <v>45103</v>
      </c>
      <c r="L11">
        <v>11</v>
      </c>
      <c r="M11" t="s">
        <v>28</v>
      </c>
      <c r="N11" t="s">
        <v>35</v>
      </c>
      <c r="O11" t="s">
        <v>30</v>
      </c>
      <c r="P11" t="s">
        <v>31</v>
      </c>
      <c r="Q11" t="s">
        <v>59</v>
      </c>
      <c r="R11">
        <v>380</v>
      </c>
      <c r="S11">
        <v>410</v>
      </c>
      <c r="T11">
        <v>1.08</v>
      </c>
    </row>
    <row r="12" spans="1:20" x14ac:dyDescent="0.25">
      <c r="A12" t="s">
        <v>107</v>
      </c>
      <c r="B12" t="s">
        <v>60</v>
      </c>
      <c r="C12">
        <v>18</v>
      </c>
      <c r="D12" t="s">
        <v>61</v>
      </c>
      <c r="E12" t="s">
        <v>23</v>
      </c>
      <c r="F12" t="s">
        <v>24</v>
      </c>
      <c r="G12" t="b">
        <v>0</v>
      </c>
      <c r="H12" t="s">
        <v>55</v>
      </c>
      <c r="I12" t="b">
        <v>0</v>
      </c>
      <c r="J12" t="s">
        <v>62</v>
      </c>
      <c r="K12" t="s">
        <v>63</v>
      </c>
      <c r="L12">
        <v>15</v>
      </c>
      <c r="M12" t="s">
        <v>28</v>
      </c>
      <c r="N12" t="s">
        <v>29</v>
      </c>
      <c r="O12" t="s">
        <v>36</v>
      </c>
      <c r="P12" t="s">
        <v>47</v>
      </c>
      <c r="Q12" t="s">
        <v>64</v>
      </c>
      <c r="R12">
        <v>24</v>
      </c>
      <c r="S12">
        <v>8</v>
      </c>
      <c r="T12">
        <v>0.33</v>
      </c>
    </row>
    <row r="13" spans="1:20" x14ac:dyDescent="0.25">
      <c r="A13" t="s">
        <v>108</v>
      </c>
      <c r="B13" t="s">
        <v>60</v>
      </c>
      <c r="C13">
        <v>18</v>
      </c>
      <c r="D13" t="s">
        <v>61</v>
      </c>
      <c r="E13" t="s">
        <v>23</v>
      </c>
      <c r="F13" t="s">
        <v>24</v>
      </c>
      <c r="G13" t="b">
        <v>0</v>
      </c>
      <c r="H13" t="s">
        <v>55</v>
      </c>
      <c r="I13" t="b">
        <v>0</v>
      </c>
      <c r="J13" s="1">
        <v>45105</v>
      </c>
      <c r="K13" s="1">
        <v>45106</v>
      </c>
      <c r="L13">
        <v>15</v>
      </c>
      <c r="M13" t="s">
        <v>28</v>
      </c>
      <c r="N13" t="s">
        <v>29</v>
      </c>
      <c r="O13" t="s">
        <v>36</v>
      </c>
      <c r="P13" t="s">
        <v>47</v>
      </c>
      <c r="Q13" t="s">
        <v>65</v>
      </c>
      <c r="R13">
        <v>30</v>
      </c>
      <c r="S13">
        <v>12</v>
      </c>
      <c r="T13">
        <v>0.4</v>
      </c>
    </row>
    <row r="14" spans="1:20" x14ac:dyDescent="0.25">
      <c r="A14" t="s">
        <v>109</v>
      </c>
      <c r="B14" t="s">
        <v>66</v>
      </c>
      <c r="C14">
        <v>19</v>
      </c>
      <c r="D14" t="s">
        <v>67</v>
      </c>
      <c r="E14" t="s">
        <v>23</v>
      </c>
      <c r="F14" t="s">
        <v>24</v>
      </c>
      <c r="G14" t="b">
        <v>0</v>
      </c>
      <c r="H14" t="s">
        <v>42</v>
      </c>
      <c r="I14" t="b">
        <v>0</v>
      </c>
      <c r="J14" t="s">
        <v>68</v>
      </c>
      <c r="K14" t="s">
        <v>69</v>
      </c>
      <c r="L14">
        <v>22</v>
      </c>
      <c r="M14" t="s">
        <v>70</v>
      </c>
      <c r="N14" t="s">
        <v>29</v>
      </c>
      <c r="O14" t="s">
        <v>71</v>
      </c>
      <c r="P14" t="s">
        <v>31</v>
      </c>
      <c r="Q14" t="s">
        <v>72</v>
      </c>
      <c r="R14">
        <v>210</v>
      </c>
      <c r="S14">
        <v>360</v>
      </c>
      <c r="T14">
        <v>1.71</v>
      </c>
    </row>
    <row r="15" spans="1:20" x14ac:dyDescent="0.25">
      <c r="A15" t="s">
        <v>110</v>
      </c>
      <c r="B15" t="s">
        <v>66</v>
      </c>
      <c r="C15">
        <v>19</v>
      </c>
      <c r="D15" t="s">
        <v>67</v>
      </c>
      <c r="E15" t="s">
        <v>23</v>
      </c>
      <c r="F15" t="s">
        <v>24</v>
      </c>
      <c r="G15" t="b">
        <v>0</v>
      </c>
      <c r="H15" t="s">
        <v>42</v>
      </c>
      <c r="I15" t="b">
        <v>0</v>
      </c>
      <c r="J15" s="1">
        <v>45110</v>
      </c>
      <c r="K15" s="1">
        <v>45111</v>
      </c>
      <c r="L15">
        <v>22</v>
      </c>
      <c r="M15" t="s">
        <v>70</v>
      </c>
      <c r="N15" t="s">
        <v>29</v>
      </c>
      <c r="O15" t="s">
        <v>71</v>
      </c>
      <c r="P15" t="s">
        <v>31</v>
      </c>
      <c r="Q15" t="s">
        <v>73</v>
      </c>
      <c r="R15">
        <v>180</v>
      </c>
      <c r="S15">
        <v>330</v>
      </c>
      <c r="T15">
        <v>1.83</v>
      </c>
    </row>
    <row r="16" spans="1:20" x14ac:dyDescent="0.25">
      <c r="A16" t="s">
        <v>111</v>
      </c>
      <c r="B16" t="s">
        <v>66</v>
      </c>
      <c r="C16">
        <v>19</v>
      </c>
      <c r="D16" t="s">
        <v>67</v>
      </c>
      <c r="E16" t="s">
        <v>23</v>
      </c>
      <c r="F16" t="s">
        <v>24</v>
      </c>
      <c r="G16" t="b">
        <v>0</v>
      </c>
      <c r="H16" t="s">
        <v>42</v>
      </c>
      <c r="I16" t="b">
        <v>0</v>
      </c>
      <c r="J16" s="1">
        <v>45110</v>
      </c>
      <c r="K16" s="1">
        <v>45111</v>
      </c>
      <c r="L16">
        <v>22</v>
      </c>
      <c r="M16" t="s">
        <v>70</v>
      </c>
      <c r="N16" t="s">
        <v>29</v>
      </c>
      <c r="O16" t="s">
        <v>50</v>
      </c>
      <c r="P16" t="s">
        <v>31</v>
      </c>
      <c r="Q16" t="s">
        <v>74</v>
      </c>
      <c r="R16">
        <v>170</v>
      </c>
      <c r="S16">
        <v>260</v>
      </c>
      <c r="T16">
        <v>1.53</v>
      </c>
    </row>
    <row r="17" spans="1:20" x14ac:dyDescent="0.25">
      <c r="A17" t="s">
        <v>112</v>
      </c>
      <c r="B17" t="s">
        <v>75</v>
      </c>
      <c r="C17">
        <v>20</v>
      </c>
      <c r="D17" t="s">
        <v>76</v>
      </c>
      <c r="E17" t="s">
        <v>23</v>
      </c>
      <c r="F17" t="s">
        <v>24</v>
      </c>
      <c r="G17" t="b">
        <v>0</v>
      </c>
      <c r="H17" t="s">
        <v>55</v>
      </c>
      <c r="I17" t="b">
        <v>0</v>
      </c>
      <c r="J17" t="s">
        <v>77</v>
      </c>
      <c r="K17" t="s">
        <v>78</v>
      </c>
      <c r="L17">
        <v>10</v>
      </c>
      <c r="M17" t="s">
        <v>28</v>
      </c>
      <c r="N17" t="s">
        <v>35</v>
      </c>
      <c r="O17" t="s">
        <v>46</v>
      </c>
      <c r="P17" t="s">
        <v>47</v>
      </c>
      <c r="Q17" t="s">
        <v>79</v>
      </c>
      <c r="R17">
        <v>980</v>
      </c>
      <c r="S17">
        <v>1950</v>
      </c>
      <c r="T17">
        <v>1.99</v>
      </c>
    </row>
    <row r="18" spans="1:20" x14ac:dyDescent="0.25">
      <c r="A18" t="s">
        <v>113</v>
      </c>
      <c r="B18" t="s">
        <v>75</v>
      </c>
      <c r="C18">
        <v>20</v>
      </c>
      <c r="D18" t="s">
        <v>76</v>
      </c>
      <c r="E18" t="s">
        <v>23</v>
      </c>
      <c r="F18" t="s">
        <v>24</v>
      </c>
      <c r="G18" t="b">
        <v>0</v>
      </c>
      <c r="H18" t="s">
        <v>55</v>
      </c>
      <c r="I18" t="b">
        <v>0</v>
      </c>
      <c r="J18" s="1">
        <v>45117</v>
      </c>
      <c r="K18" s="1">
        <v>45118</v>
      </c>
      <c r="L18">
        <v>10</v>
      </c>
      <c r="M18" t="s">
        <v>28</v>
      </c>
      <c r="N18" t="s">
        <v>35</v>
      </c>
      <c r="O18" t="s">
        <v>46</v>
      </c>
      <c r="P18" t="s">
        <v>47</v>
      </c>
      <c r="Q18" t="s">
        <v>80</v>
      </c>
      <c r="R18">
        <v>1020</v>
      </c>
      <c r="S18">
        <v>2100</v>
      </c>
      <c r="T18">
        <v>2.06</v>
      </c>
    </row>
    <row r="19" spans="1:20" x14ac:dyDescent="0.25">
      <c r="A19" t="s">
        <v>114</v>
      </c>
      <c r="B19" t="s">
        <v>81</v>
      </c>
      <c r="C19">
        <v>21</v>
      </c>
      <c r="D19" t="s">
        <v>82</v>
      </c>
      <c r="E19" t="s">
        <v>23</v>
      </c>
      <c r="F19" t="s">
        <v>54</v>
      </c>
      <c r="G19" t="b">
        <v>0</v>
      </c>
      <c r="H19" t="s">
        <v>25</v>
      </c>
      <c r="I19" t="b">
        <v>0</v>
      </c>
      <c r="J19" t="s">
        <v>83</v>
      </c>
      <c r="K19" t="s">
        <v>84</v>
      </c>
      <c r="L19">
        <v>8</v>
      </c>
      <c r="M19" t="s">
        <v>28</v>
      </c>
      <c r="N19" t="s">
        <v>35</v>
      </c>
      <c r="O19" t="s">
        <v>50</v>
      </c>
      <c r="P19" t="s">
        <v>31</v>
      </c>
      <c r="Q19" t="s">
        <v>85</v>
      </c>
      <c r="R19">
        <v>140</v>
      </c>
      <c r="S19">
        <v>420</v>
      </c>
      <c r="T19">
        <v>3</v>
      </c>
    </row>
    <row r="20" spans="1:20" x14ac:dyDescent="0.25">
      <c r="A20" t="s">
        <v>115</v>
      </c>
      <c r="B20" t="s">
        <v>81</v>
      </c>
      <c r="C20">
        <v>21</v>
      </c>
      <c r="D20" t="s">
        <v>82</v>
      </c>
      <c r="E20" t="s">
        <v>23</v>
      </c>
      <c r="F20" t="s">
        <v>54</v>
      </c>
      <c r="G20" t="b">
        <v>0</v>
      </c>
      <c r="H20" t="s">
        <v>25</v>
      </c>
      <c r="I20" t="b">
        <v>0</v>
      </c>
      <c r="J20" s="1">
        <v>45124</v>
      </c>
      <c r="K20" s="1">
        <v>45125</v>
      </c>
      <c r="L20">
        <v>8</v>
      </c>
      <c r="M20" t="s">
        <v>28</v>
      </c>
      <c r="N20" t="s">
        <v>35</v>
      </c>
      <c r="O20" t="s">
        <v>50</v>
      </c>
      <c r="P20" t="s">
        <v>31</v>
      </c>
      <c r="Q20" t="s">
        <v>86</v>
      </c>
      <c r="R20">
        <v>160</v>
      </c>
      <c r="S20">
        <v>480</v>
      </c>
      <c r="T20">
        <v>3</v>
      </c>
    </row>
    <row r="21" spans="1:20" x14ac:dyDescent="0.25">
      <c r="A21" t="s">
        <v>116</v>
      </c>
      <c r="B21" t="s">
        <v>87</v>
      </c>
      <c r="C21">
        <v>22</v>
      </c>
      <c r="D21" t="s">
        <v>88</v>
      </c>
      <c r="E21" t="s">
        <v>23</v>
      </c>
      <c r="F21" t="s">
        <v>24</v>
      </c>
      <c r="G21" t="b">
        <v>0</v>
      </c>
      <c r="H21" t="s">
        <v>42</v>
      </c>
      <c r="I21" t="b">
        <v>0</v>
      </c>
      <c r="J21" t="s">
        <v>89</v>
      </c>
      <c r="K21" t="s">
        <v>90</v>
      </c>
      <c r="L21">
        <v>18</v>
      </c>
      <c r="M21" t="s">
        <v>45</v>
      </c>
      <c r="N21" t="s">
        <v>29</v>
      </c>
      <c r="O21" t="s">
        <v>30</v>
      </c>
      <c r="P21" t="s">
        <v>31</v>
      </c>
      <c r="Q21" t="s">
        <v>91</v>
      </c>
      <c r="R21">
        <v>60</v>
      </c>
      <c r="S21">
        <v>150</v>
      </c>
      <c r="T21">
        <v>2.5</v>
      </c>
    </row>
    <row r="22" spans="1:20" x14ac:dyDescent="0.25">
      <c r="A22" t="s">
        <v>117</v>
      </c>
      <c r="B22" t="s">
        <v>120</v>
      </c>
      <c r="C22">
        <v>22</v>
      </c>
      <c r="D22" t="s">
        <v>119</v>
      </c>
      <c r="E22" t="s">
        <v>23</v>
      </c>
      <c r="F22" t="s">
        <v>24</v>
      </c>
      <c r="G22" t="b">
        <v>0</v>
      </c>
      <c r="H22" t="s">
        <v>42</v>
      </c>
      <c r="I22" t="b">
        <v>0</v>
      </c>
      <c r="J22" t="s">
        <v>90</v>
      </c>
      <c r="K22" t="s">
        <v>118</v>
      </c>
      <c r="L22">
        <v>18</v>
      </c>
      <c r="M22" t="s">
        <v>45</v>
      </c>
      <c r="N22" t="s">
        <v>29</v>
      </c>
      <c r="O22" t="s">
        <v>30</v>
      </c>
      <c r="P22" t="s">
        <v>31</v>
      </c>
      <c r="Q22" t="s">
        <v>92</v>
      </c>
      <c r="R22">
        <v>72</v>
      </c>
      <c r="S22">
        <v>180</v>
      </c>
      <c r="T22">
        <v>2.5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165C-AE2A-4EBB-9489-5F8366509600}">
  <dimension ref="A3:C47"/>
  <sheetViews>
    <sheetView tabSelected="1" topLeftCell="A22" zoomScale="130" zoomScaleNormal="130" workbookViewId="0">
      <selection activeCell="B4" sqref="B4"/>
    </sheetView>
  </sheetViews>
  <sheetFormatPr defaultRowHeight="15" x14ac:dyDescent="0.25"/>
  <cols>
    <col min="1" max="1" width="21.42578125" bestFit="1" customWidth="1"/>
    <col min="2" max="2" width="19.85546875" bestFit="1" customWidth="1"/>
    <col min="3" max="3" width="12" bestFit="1" customWidth="1"/>
  </cols>
  <sheetData>
    <row r="3" spans="1:3" x14ac:dyDescent="0.25">
      <c r="A3" s="2" t="s">
        <v>93</v>
      </c>
      <c r="B3" t="s">
        <v>97</v>
      </c>
      <c r="C3" t="s">
        <v>96</v>
      </c>
    </row>
    <row r="4" spans="1:3" x14ac:dyDescent="0.25">
      <c r="A4" s="3" t="s">
        <v>22</v>
      </c>
      <c r="B4" s="6">
        <v>5</v>
      </c>
      <c r="C4" s="6">
        <v>249</v>
      </c>
    </row>
    <row r="5" spans="1:3" x14ac:dyDescent="0.25">
      <c r="A5" s="4" t="s">
        <v>36</v>
      </c>
      <c r="B5" s="6">
        <v>2</v>
      </c>
      <c r="C5" s="6">
        <v>197</v>
      </c>
    </row>
    <row r="6" spans="1:3" x14ac:dyDescent="0.25">
      <c r="A6" s="5" t="s">
        <v>38</v>
      </c>
      <c r="B6" s="6">
        <v>1</v>
      </c>
      <c r="C6" s="6">
        <v>102</v>
      </c>
    </row>
    <row r="7" spans="1:3" x14ac:dyDescent="0.25">
      <c r="A7" s="5" t="s">
        <v>37</v>
      </c>
      <c r="B7" s="6">
        <v>1</v>
      </c>
      <c r="C7" s="6">
        <v>95</v>
      </c>
    </row>
    <row r="8" spans="1:3" x14ac:dyDescent="0.25">
      <c r="A8" s="4" t="s">
        <v>30</v>
      </c>
      <c r="B8" s="6">
        <v>2</v>
      </c>
      <c r="C8" s="6">
        <v>38</v>
      </c>
    </row>
    <row r="9" spans="1:3" x14ac:dyDescent="0.25">
      <c r="A9" s="5" t="s">
        <v>39</v>
      </c>
      <c r="B9" s="6">
        <v>1</v>
      </c>
      <c r="C9" s="6">
        <v>26</v>
      </c>
    </row>
    <row r="10" spans="1:3" x14ac:dyDescent="0.25">
      <c r="A10" s="5" t="s">
        <v>32</v>
      </c>
      <c r="B10" s="6">
        <v>1</v>
      </c>
      <c r="C10" s="6">
        <v>12</v>
      </c>
    </row>
    <row r="11" spans="1:3" x14ac:dyDescent="0.25">
      <c r="A11" s="4" t="s">
        <v>33</v>
      </c>
      <c r="B11" s="6">
        <v>1</v>
      </c>
      <c r="C11" s="6">
        <v>14</v>
      </c>
    </row>
    <row r="12" spans="1:3" x14ac:dyDescent="0.25">
      <c r="A12" s="5" t="s">
        <v>34</v>
      </c>
      <c r="B12" s="6">
        <v>1</v>
      </c>
      <c r="C12" s="6">
        <v>14</v>
      </c>
    </row>
    <row r="13" spans="1:3" x14ac:dyDescent="0.25">
      <c r="A13" s="3" t="s">
        <v>41</v>
      </c>
      <c r="B13" s="6">
        <v>3</v>
      </c>
      <c r="C13" s="6">
        <v>200</v>
      </c>
    </row>
    <row r="14" spans="1:3" x14ac:dyDescent="0.25">
      <c r="A14" s="4" t="s">
        <v>50</v>
      </c>
      <c r="B14" s="6">
        <v>1</v>
      </c>
      <c r="C14" s="6">
        <v>160</v>
      </c>
    </row>
    <row r="15" spans="1:3" x14ac:dyDescent="0.25">
      <c r="A15" s="5" t="s">
        <v>51</v>
      </c>
      <c r="B15" s="6">
        <v>1</v>
      </c>
      <c r="C15" s="6">
        <v>160</v>
      </c>
    </row>
    <row r="16" spans="1:3" x14ac:dyDescent="0.25">
      <c r="A16" s="4" t="s">
        <v>46</v>
      </c>
      <c r="B16" s="6">
        <v>2</v>
      </c>
      <c r="C16" s="6">
        <v>40</v>
      </c>
    </row>
    <row r="17" spans="1:3" x14ac:dyDescent="0.25">
      <c r="A17" s="5" t="s">
        <v>49</v>
      </c>
      <c r="B17" s="6">
        <v>1</v>
      </c>
      <c r="C17" s="6">
        <v>22</v>
      </c>
    </row>
    <row r="18" spans="1:3" x14ac:dyDescent="0.25">
      <c r="A18" s="5" t="s">
        <v>48</v>
      </c>
      <c r="B18" s="6">
        <v>1</v>
      </c>
      <c r="C18" s="6">
        <v>18</v>
      </c>
    </row>
    <row r="19" spans="1:3" x14ac:dyDescent="0.25">
      <c r="A19" s="3" t="s">
        <v>53</v>
      </c>
      <c r="B19" s="6">
        <v>2</v>
      </c>
      <c r="C19" s="6">
        <v>800</v>
      </c>
    </row>
    <row r="20" spans="1:3" x14ac:dyDescent="0.25">
      <c r="A20" s="4" t="s">
        <v>30</v>
      </c>
      <c r="B20" s="6">
        <v>2</v>
      </c>
      <c r="C20" s="6">
        <v>800</v>
      </c>
    </row>
    <row r="21" spans="1:3" x14ac:dyDescent="0.25">
      <c r="A21" s="5" t="s">
        <v>58</v>
      </c>
      <c r="B21" s="6">
        <v>1</v>
      </c>
      <c r="C21" s="6">
        <v>420</v>
      </c>
    </row>
    <row r="22" spans="1:3" x14ac:dyDescent="0.25">
      <c r="A22" s="5" t="s">
        <v>59</v>
      </c>
      <c r="B22" s="6">
        <v>1</v>
      </c>
      <c r="C22" s="6">
        <v>380</v>
      </c>
    </row>
    <row r="23" spans="1:3" x14ac:dyDescent="0.25">
      <c r="A23" s="3" t="s">
        <v>61</v>
      </c>
      <c r="B23" s="6">
        <v>2</v>
      </c>
      <c r="C23" s="6">
        <v>54</v>
      </c>
    </row>
    <row r="24" spans="1:3" x14ac:dyDescent="0.25">
      <c r="A24" s="4" t="s">
        <v>36</v>
      </c>
      <c r="B24" s="6">
        <v>2</v>
      </c>
      <c r="C24" s="6">
        <v>54</v>
      </c>
    </row>
    <row r="25" spans="1:3" x14ac:dyDescent="0.25">
      <c r="A25" s="5" t="s">
        <v>65</v>
      </c>
      <c r="B25" s="6">
        <v>1</v>
      </c>
      <c r="C25" s="6">
        <v>30</v>
      </c>
    </row>
    <row r="26" spans="1:3" x14ac:dyDescent="0.25">
      <c r="A26" s="5" t="s">
        <v>64</v>
      </c>
      <c r="B26" s="6">
        <v>1</v>
      </c>
      <c r="C26" s="6">
        <v>24</v>
      </c>
    </row>
    <row r="27" spans="1:3" x14ac:dyDescent="0.25">
      <c r="A27" s="3" t="s">
        <v>67</v>
      </c>
      <c r="B27" s="6">
        <v>3</v>
      </c>
      <c r="C27" s="6">
        <v>560</v>
      </c>
    </row>
    <row r="28" spans="1:3" x14ac:dyDescent="0.25">
      <c r="A28" s="4" t="s">
        <v>71</v>
      </c>
      <c r="B28" s="6">
        <v>2</v>
      </c>
      <c r="C28" s="6">
        <v>390</v>
      </c>
    </row>
    <row r="29" spans="1:3" x14ac:dyDescent="0.25">
      <c r="A29" s="5" t="s">
        <v>72</v>
      </c>
      <c r="B29" s="6">
        <v>1</v>
      </c>
      <c r="C29" s="6">
        <v>210</v>
      </c>
    </row>
    <row r="30" spans="1:3" x14ac:dyDescent="0.25">
      <c r="A30" s="5" t="s">
        <v>73</v>
      </c>
      <c r="B30" s="6">
        <v>1</v>
      </c>
      <c r="C30" s="6">
        <v>180</v>
      </c>
    </row>
    <row r="31" spans="1:3" x14ac:dyDescent="0.25">
      <c r="A31" s="4" t="s">
        <v>50</v>
      </c>
      <c r="B31" s="6">
        <v>1</v>
      </c>
      <c r="C31" s="6">
        <v>170</v>
      </c>
    </row>
    <row r="32" spans="1:3" x14ac:dyDescent="0.25">
      <c r="A32" s="5" t="s">
        <v>74</v>
      </c>
      <c r="B32" s="6">
        <v>1</v>
      </c>
      <c r="C32" s="6">
        <v>170</v>
      </c>
    </row>
    <row r="33" spans="1:3" x14ac:dyDescent="0.25">
      <c r="A33" s="3" t="s">
        <v>76</v>
      </c>
      <c r="B33" s="6">
        <v>2</v>
      </c>
      <c r="C33" s="6">
        <v>2000</v>
      </c>
    </row>
    <row r="34" spans="1:3" x14ac:dyDescent="0.25">
      <c r="A34" s="4" t="s">
        <v>46</v>
      </c>
      <c r="B34" s="6">
        <v>2</v>
      </c>
      <c r="C34" s="6">
        <v>2000</v>
      </c>
    </row>
    <row r="35" spans="1:3" x14ac:dyDescent="0.25">
      <c r="A35" s="5" t="s">
        <v>80</v>
      </c>
      <c r="B35" s="6">
        <v>1</v>
      </c>
      <c r="C35" s="6">
        <v>1020</v>
      </c>
    </row>
    <row r="36" spans="1:3" x14ac:dyDescent="0.25">
      <c r="A36" s="5" t="s">
        <v>79</v>
      </c>
      <c r="B36" s="6">
        <v>1</v>
      </c>
      <c r="C36" s="6">
        <v>980</v>
      </c>
    </row>
    <row r="37" spans="1:3" x14ac:dyDescent="0.25">
      <c r="A37" s="3" t="s">
        <v>82</v>
      </c>
      <c r="B37" s="6">
        <v>2</v>
      </c>
      <c r="C37" s="6">
        <v>300</v>
      </c>
    </row>
    <row r="38" spans="1:3" x14ac:dyDescent="0.25">
      <c r="A38" s="4" t="s">
        <v>50</v>
      </c>
      <c r="B38" s="6">
        <v>2</v>
      </c>
      <c r="C38" s="6">
        <v>300</v>
      </c>
    </row>
    <row r="39" spans="1:3" x14ac:dyDescent="0.25">
      <c r="A39" s="5" t="s">
        <v>86</v>
      </c>
      <c r="B39" s="6">
        <v>1</v>
      </c>
      <c r="C39" s="6">
        <v>160</v>
      </c>
    </row>
    <row r="40" spans="1:3" x14ac:dyDescent="0.25">
      <c r="A40" s="5" t="s">
        <v>85</v>
      </c>
      <c r="B40" s="6">
        <v>1</v>
      </c>
      <c r="C40" s="6">
        <v>140</v>
      </c>
    </row>
    <row r="41" spans="1:3" x14ac:dyDescent="0.25">
      <c r="A41" s="3" t="s">
        <v>88</v>
      </c>
      <c r="B41" s="6">
        <v>1</v>
      </c>
      <c r="C41" s="6">
        <v>60</v>
      </c>
    </row>
    <row r="42" spans="1:3" x14ac:dyDescent="0.25">
      <c r="A42" s="4" t="s">
        <v>30</v>
      </c>
      <c r="B42" s="6">
        <v>1</v>
      </c>
      <c r="C42" s="6">
        <v>60</v>
      </c>
    </row>
    <row r="43" spans="1:3" x14ac:dyDescent="0.25">
      <c r="A43" s="5" t="s">
        <v>91</v>
      </c>
      <c r="B43" s="6">
        <v>1</v>
      </c>
      <c r="C43" s="6">
        <v>60</v>
      </c>
    </row>
    <row r="44" spans="1:3" x14ac:dyDescent="0.25">
      <c r="A44" s="3" t="s">
        <v>94</v>
      </c>
      <c r="B44" s="6">
        <v>1</v>
      </c>
      <c r="C44" s="6">
        <v>72</v>
      </c>
    </row>
    <row r="45" spans="1:3" x14ac:dyDescent="0.25">
      <c r="A45" s="4" t="s">
        <v>30</v>
      </c>
      <c r="B45" s="6">
        <v>1</v>
      </c>
      <c r="C45" s="6">
        <v>72</v>
      </c>
    </row>
    <row r="46" spans="1:3" x14ac:dyDescent="0.25">
      <c r="A46" s="5" t="s">
        <v>92</v>
      </c>
      <c r="B46" s="6">
        <v>1</v>
      </c>
      <c r="C46" s="6">
        <v>72</v>
      </c>
    </row>
    <row r="47" spans="1:3" x14ac:dyDescent="0.25">
      <c r="A47" s="3" t="s">
        <v>95</v>
      </c>
      <c r="B47" s="6">
        <v>21</v>
      </c>
      <c r="C47" s="6">
        <v>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Inbound_Mock_Data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silva</cp:lastModifiedBy>
  <dcterms:created xsi:type="dcterms:W3CDTF">2026-01-17T19:59:16Z</dcterms:created>
  <dcterms:modified xsi:type="dcterms:W3CDTF">2026-01-18T02:43:57Z</dcterms:modified>
</cp:coreProperties>
</file>